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ka\Videos\Excel\"/>
    </mc:Choice>
  </mc:AlternateContent>
  <xr:revisionPtr revIDLastSave="0" documentId="13_ncr:1_{B7DD812A-C39C-4693-906F-9A12D6011E5C}" xr6:coauthVersionLast="47" xr6:coauthVersionMax="47" xr10:uidLastSave="{00000000-0000-0000-0000-000000000000}"/>
  <bookViews>
    <workbookView xWindow="-108" yWindow="-108" windowWidth="23256" windowHeight="12456" activeTab="3" xr2:uid="{70C619DE-EC1C-4630-843D-5055D8F3A971}"/>
  </bookViews>
  <sheets>
    <sheet name="Judge 1" sheetId="1" r:id="rId1"/>
    <sheet name="Judge 2" sheetId="2" r:id="rId2"/>
    <sheet name="Judge 3" sheetId="3" r:id="rId3"/>
    <sheet name="Main She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8" i="4"/>
  <c r="K9" i="4"/>
  <c r="K10" i="4"/>
  <c r="K11" i="4"/>
  <c r="K12" i="4"/>
  <c r="J4" i="4"/>
  <c r="J5" i="4"/>
  <c r="J6" i="4"/>
  <c r="J7" i="4"/>
  <c r="J8" i="4"/>
  <c r="J9" i="4"/>
  <c r="J10" i="4"/>
  <c r="J11" i="4"/>
  <c r="J12" i="4"/>
  <c r="J3" i="4"/>
  <c r="G4" i="4"/>
  <c r="G5" i="4"/>
  <c r="G6" i="4"/>
  <c r="G7" i="4"/>
  <c r="G8" i="4"/>
  <c r="G9" i="4"/>
  <c r="G10" i="4"/>
  <c r="G11" i="4"/>
  <c r="G12" i="4"/>
  <c r="G3" i="4"/>
  <c r="F3" i="4"/>
  <c r="D4" i="4"/>
  <c r="D5" i="4"/>
  <c r="D6" i="4"/>
  <c r="D7" i="4"/>
  <c r="D8" i="4"/>
  <c r="D9" i="4"/>
  <c r="D10" i="4"/>
  <c r="D11" i="4"/>
  <c r="D12" i="4"/>
  <c r="D3" i="4"/>
  <c r="I4" i="4"/>
  <c r="I5" i="4"/>
  <c r="I6" i="4"/>
  <c r="I7" i="4"/>
  <c r="I8" i="4"/>
  <c r="I9" i="4"/>
  <c r="I10" i="4"/>
  <c r="I11" i="4"/>
  <c r="I12" i="4"/>
  <c r="I3" i="4"/>
  <c r="F4" i="4"/>
  <c r="F5" i="4"/>
  <c r="F6" i="4"/>
  <c r="F7" i="4"/>
  <c r="F8" i="4"/>
  <c r="F9" i="4"/>
  <c r="F10" i="4"/>
  <c r="F11" i="4"/>
  <c r="F12" i="4"/>
  <c r="C4" i="4"/>
  <c r="C5" i="4"/>
  <c r="C6" i="4"/>
  <c r="C7" i="4"/>
  <c r="C8" i="4"/>
  <c r="C9" i="4"/>
  <c r="C10" i="4"/>
  <c r="C11" i="4"/>
  <c r="C12" i="4"/>
  <c r="C3" i="4"/>
  <c r="H4" i="4"/>
  <c r="H5" i="4"/>
  <c r="H6" i="4"/>
  <c r="H7" i="4"/>
  <c r="H8" i="4"/>
  <c r="H9" i="4"/>
  <c r="H10" i="4"/>
  <c r="H11" i="4"/>
  <c r="H12" i="4"/>
  <c r="H3" i="4"/>
  <c r="E4" i="4"/>
  <c r="E5" i="4"/>
  <c r="E6" i="4"/>
  <c r="E7" i="4"/>
  <c r="E8" i="4"/>
  <c r="E9" i="4"/>
  <c r="E10" i="4"/>
  <c r="E11" i="4"/>
  <c r="E12" i="4"/>
  <c r="E3" i="4"/>
  <c r="B4" i="4"/>
  <c r="K4" i="4" s="1"/>
  <c r="B5" i="4"/>
  <c r="K5" i="4" s="1"/>
  <c r="B6" i="4"/>
  <c r="B7" i="4"/>
  <c r="B8" i="4"/>
  <c r="B9" i="4"/>
  <c r="B10" i="4"/>
  <c r="B11" i="4"/>
  <c r="B12" i="4"/>
  <c r="B3" i="4"/>
  <c r="K3" i="4" s="1"/>
</calcChain>
</file>

<file path=xl/sharedStrings.xml><?xml version="1.0" encoding="utf-8"?>
<sst xmlns="http://schemas.openxmlformats.org/spreadsheetml/2006/main" count="69" uniqueCount="18">
  <si>
    <t>Team Name</t>
  </si>
  <si>
    <t>Bating</t>
  </si>
  <si>
    <t>Bowling</t>
  </si>
  <si>
    <t>Fielding</t>
  </si>
  <si>
    <t>RCB</t>
  </si>
  <si>
    <t>PBKS</t>
  </si>
  <si>
    <t>CSK</t>
  </si>
  <si>
    <t>SRH</t>
  </si>
  <si>
    <t>MI</t>
  </si>
  <si>
    <t>RR</t>
  </si>
  <si>
    <t>KKR</t>
  </si>
  <si>
    <t>DC</t>
  </si>
  <si>
    <t>LSG</t>
  </si>
  <si>
    <t>GT</t>
  </si>
  <si>
    <t>Judge 1</t>
  </si>
  <si>
    <t>Judge 2</t>
  </si>
  <si>
    <t>Judge 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</si>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</sst>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1" fillId="4" borderId="1" xfId="0" applyFont="1" applyFill="1" applyBorder="1"/>
    <xf numFmtId="0" fontId="0" fillId="8" borderId="1" xfId="0" applyFill="1" applyBorder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D808-603E-4B62-A1CC-7F009889EDF8}">
  <dimension ref="A2:D13"/>
  <sheetViews>
    <sheetView zoomScale="115" zoomScaleNormal="115" workbookViewId="0">
      <selection activeCell="B5" sqref="B5"/>
    </sheetView>
  </sheetViews>
  <sheetFormatPr defaultRowHeight="14.4" x14ac:dyDescent="0.3"/>
  <cols>
    <col min="1" max="1" width="19.5546875" customWidth="1"/>
    <col min="2" max="2" width="14.5546875" customWidth="1"/>
    <col min="3" max="3" width="20.109375" customWidth="1"/>
    <col min="4" max="4" width="20.88671875" customWidth="1"/>
  </cols>
  <sheetData>
    <row r="2" spans="1:4" x14ac:dyDescent="0.3">
      <c r="A2" s="11" t="s">
        <v>14</v>
      </c>
      <c r="B2" s="11"/>
      <c r="C2" s="11"/>
      <c r="D2" s="11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1" t="s">
        <v>4</v>
      </c>
      <c r="B4" s="2">
        <v>1000</v>
      </c>
      <c r="C4" s="2">
        <v>7</v>
      </c>
      <c r="D4" s="2">
        <v>10</v>
      </c>
    </row>
    <row r="5" spans="1:4" x14ac:dyDescent="0.3">
      <c r="A5" s="1" t="s">
        <v>5</v>
      </c>
      <c r="B5" s="2">
        <v>9</v>
      </c>
      <c r="C5" s="2">
        <v>8</v>
      </c>
      <c r="D5" s="2">
        <v>5</v>
      </c>
    </row>
    <row r="6" spans="1:4" x14ac:dyDescent="0.3">
      <c r="A6" s="1" t="s">
        <v>6</v>
      </c>
      <c r="B6" s="2">
        <v>10</v>
      </c>
      <c r="C6" s="2">
        <v>4</v>
      </c>
      <c r="D6" s="2">
        <v>9</v>
      </c>
    </row>
    <row r="7" spans="1:4" x14ac:dyDescent="0.3">
      <c r="A7" s="1" t="s">
        <v>7</v>
      </c>
      <c r="B7" s="2">
        <v>10</v>
      </c>
      <c r="C7" s="2">
        <v>6</v>
      </c>
      <c r="D7" s="2">
        <v>5</v>
      </c>
    </row>
    <row r="8" spans="1:4" x14ac:dyDescent="0.3">
      <c r="A8" s="1" t="s">
        <v>8</v>
      </c>
      <c r="B8" s="2">
        <v>8</v>
      </c>
      <c r="C8" s="2">
        <v>10</v>
      </c>
      <c r="D8" s="2">
        <v>6</v>
      </c>
    </row>
    <row r="9" spans="1:4" x14ac:dyDescent="0.3">
      <c r="A9" s="1" t="s">
        <v>9</v>
      </c>
      <c r="B9" s="2">
        <v>7</v>
      </c>
      <c r="C9" s="2">
        <v>8</v>
      </c>
      <c r="D9" s="2">
        <v>5</v>
      </c>
    </row>
    <row r="10" spans="1:4" x14ac:dyDescent="0.3">
      <c r="A10" s="1" t="s">
        <v>10</v>
      </c>
      <c r="B10" s="2">
        <v>4</v>
      </c>
      <c r="C10" s="2">
        <v>3</v>
      </c>
      <c r="D10" s="2">
        <v>5</v>
      </c>
    </row>
    <row r="11" spans="1:4" x14ac:dyDescent="0.3">
      <c r="A11" s="1" t="s">
        <v>11</v>
      </c>
      <c r="B11" s="2">
        <v>8</v>
      </c>
      <c r="C11" s="2">
        <v>10</v>
      </c>
      <c r="D11" s="2">
        <v>6</v>
      </c>
    </row>
    <row r="12" spans="1:4" x14ac:dyDescent="0.3">
      <c r="A12" s="1" t="s">
        <v>12</v>
      </c>
      <c r="B12" s="2">
        <v>7</v>
      </c>
      <c r="C12" s="2">
        <v>9</v>
      </c>
      <c r="D12" s="2">
        <v>10</v>
      </c>
    </row>
    <row r="13" spans="1:4" x14ac:dyDescent="0.3">
      <c r="A13" s="1" t="s">
        <v>13</v>
      </c>
      <c r="B13" s="2">
        <v>8</v>
      </c>
      <c r="C13" s="2">
        <v>3</v>
      </c>
      <c r="D13" s="2">
        <v>7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0536-20E1-44D8-9A9B-87D8988390D3}">
  <dimension ref="A2:D13"/>
  <sheetViews>
    <sheetView zoomScale="115" zoomScaleNormal="115" workbookViewId="0">
      <selection activeCell="F11" sqref="F11"/>
    </sheetView>
  </sheetViews>
  <sheetFormatPr defaultRowHeight="14.4" x14ac:dyDescent="0.3"/>
  <cols>
    <col min="1" max="1" width="19.109375" customWidth="1"/>
    <col min="2" max="2" width="16.44140625" customWidth="1"/>
    <col min="3" max="3" width="17.21875" customWidth="1"/>
    <col min="4" max="4" width="18.44140625" customWidth="1"/>
  </cols>
  <sheetData>
    <row r="2" spans="1:4" x14ac:dyDescent="0.3">
      <c r="A2" s="11" t="s">
        <v>15</v>
      </c>
      <c r="B2" s="11"/>
      <c r="C2" s="11"/>
      <c r="D2" s="11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1" t="s">
        <v>4</v>
      </c>
      <c r="B4" s="2">
        <v>8</v>
      </c>
      <c r="C4" s="2">
        <v>8</v>
      </c>
      <c r="D4" s="2">
        <v>8</v>
      </c>
    </row>
    <row r="5" spans="1:4" x14ac:dyDescent="0.3">
      <c r="A5" s="1" t="s">
        <v>5</v>
      </c>
      <c r="B5" s="2">
        <v>8</v>
      </c>
      <c r="C5" s="2">
        <v>8</v>
      </c>
      <c r="D5" s="2">
        <v>8</v>
      </c>
    </row>
    <row r="6" spans="1:4" x14ac:dyDescent="0.3">
      <c r="A6" s="1" t="s">
        <v>6</v>
      </c>
      <c r="B6" s="2">
        <v>8</v>
      </c>
      <c r="C6" s="2">
        <v>8</v>
      </c>
      <c r="D6" s="2">
        <v>8</v>
      </c>
    </row>
    <row r="7" spans="1:4" x14ac:dyDescent="0.3">
      <c r="A7" s="1" t="s">
        <v>7</v>
      </c>
      <c r="B7" s="2">
        <v>8</v>
      </c>
      <c r="C7" s="2">
        <v>8</v>
      </c>
      <c r="D7" s="2">
        <v>8</v>
      </c>
    </row>
    <row r="8" spans="1:4" x14ac:dyDescent="0.3">
      <c r="A8" s="1" t="s">
        <v>8</v>
      </c>
      <c r="B8" s="2">
        <v>8</v>
      </c>
      <c r="C8" s="2">
        <v>8</v>
      </c>
      <c r="D8" s="2">
        <v>8</v>
      </c>
    </row>
    <row r="9" spans="1:4" x14ac:dyDescent="0.3">
      <c r="A9" s="1" t="s">
        <v>9</v>
      </c>
      <c r="B9" s="2">
        <v>8</v>
      </c>
      <c r="C9" s="2">
        <v>8</v>
      </c>
      <c r="D9" s="2">
        <v>8</v>
      </c>
    </row>
    <row r="10" spans="1:4" x14ac:dyDescent="0.3">
      <c r="A10" s="1" t="s">
        <v>10</v>
      </c>
      <c r="B10" s="2">
        <v>8</v>
      </c>
      <c r="C10" s="2">
        <v>8</v>
      </c>
      <c r="D10" s="2">
        <v>8</v>
      </c>
    </row>
    <row r="11" spans="1:4" x14ac:dyDescent="0.3">
      <c r="A11" s="1" t="s">
        <v>11</v>
      </c>
      <c r="B11" s="2">
        <v>8</v>
      </c>
      <c r="C11" s="2">
        <v>8</v>
      </c>
      <c r="D11" s="2">
        <v>8</v>
      </c>
    </row>
    <row r="12" spans="1:4" x14ac:dyDescent="0.3">
      <c r="A12" s="1" t="s">
        <v>12</v>
      </c>
      <c r="B12" s="2">
        <v>8</v>
      </c>
      <c r="C12" s="2">
        <v>8</v>
      </c>
      <c r="D12" s="2">
        <v>8</v>
      </c>
    </row>
    <row r="13" spans="1:4" x14ac:dyDescent="0.3">
      <c r="A13" s="1" t="s">
        <v>13</v>
      </c>
      <c r="B13" s="2">
        <v>8</v>
      </c>
      <c r="C13" s="2">
        <v>8</v>
      </c>
      <c r="D13" s="2">
        <v>8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C75A-5280-4D6F-BE39-25301A987237}">
  <dimension ref="A2:D13"/>
  <sheetViews>
    <sheetView zoomScale="130" zoomScaleNormal="130" workbookViewId="0">
      <selection activeCell="B21" sqref="B21"/>
    </sheetView>
  </sheetViews>
  <sheetFormatPr defaultRowHeight="14.4" x14ac:dyDescent="0.3"/>
  <cols>
    <col min="1" max="1" width="22.88671875" customWidth="1"/>
    <col min="2" max="2" width="16.109375" customWidth="1"/>
    <col min="3" max="3" width="19" customWidth="1"/>
    <col min="4" max="4" width="17.109375" customWidth="1"/>
  </cols>
  <sheetData>
    <row r="2" spans="1:4" x14ac:dyDescent="0.3">
      <c r="A2" s="11" t="s">
        <v>16</v>
      </c>
      <c r="B2" s="11"/>
      <c r="C2" s="11"/>
      <c r="D2" s="11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1" t="s">
        <v>4</v>
      </c>
      <c r="B4" s="2">
        <v>2</v>
      </c>
      <c r="C4" s="2">
        <v>2</v>
      </c>
      <c r="D4" s="2">
        <v>2</v>
      </c>
    </row>
    <row r="5" spans="1:4" x14ac:dyDescent="0.3">
      <c r="A5" s="1" t="s">
        <v>5</v>
      </c>
      <c r="B5" s="2">
        <v>2</v>
      </c>
      <c r="C5" s="2">
        <v>2</v>
      </c>
      <c r="D5" s="2">
        <v>2</v>
      </c>
    </row>
    <row r="6" spans="1:4" x14ac:dyDescent="0.3">
      <c r="A6" s="1" t="s">
        <v>6</v>
      </c>
      <c r="B6" s="2">
        <v>2</v>
      </c>
      <c r="C6" s="2">
        <v>2</v>
      </c>
      <c r="D6" s="2">
        <v>2</v>
      </c>
    </row>
    <row r="7" spans="1:4" x14ac:dyDescent="0.3">
      <c r="A7" s="1" t="s">
        <v>7</v>
      </c>
      <c r="B7" s="2">
        <v>2</v>
      </c>
      <c r="C7" s="2">
        <v>2</v>
      </c>
      <c r="D7" s="2">
        <v>2</v>
      </c>
    </row>
    <row r="8" spans="1:4" x14ac:dyDescent="0.3">
      <c r="A8" s="1" t="s">
        <v>8</v>
      </c>
      <c r="B8" s="2">
        <v>2</v>
      </c>
      <c r="C8" s="2">
        <v>2</v>
      </c>
      <c r="D8" s="2">
        <v>2</v>
      </c>
    </row>
    <row r="9" spans="1:4" x14ac:dyDescent="0.3">
      <c r="A9" s="1" t="s">
        <v>9</v>
      </c>
      <c r="B9" s="2">
        <v>2</v>
      </c>
      <c r="C9" s="2">
        <v>2</v>
      </c>
      <c r="D9" s="2">
        <v>2</v>
      </c>
    </row>
    <row r="10" spans="1:4" x14ac:dyDescent="0.3">
      <c r="A10" s="1" t="s">
        <v>10</v>
      </c>
      <c r="B10" s="2">
        <v>2</v>
      </c>
      <c r="C10" s="2">
        <v>2</v>
      </c>
      <c r="D10" s="2">
        <v>2</v>
      </c>
    </row>
    <row r="11" spans="1:4" x14ac:dyDescent="0.3">
      <c r="A11" s="1" t="s">
        <v>11</v>
      </c>
      <c r="B11" s="2">
        <v>2</v>
      </c>
      <c r="C11" s="2">
        <v>2</v>
      </c>
      <c r="D11" s="2">
        <v>2</v>
      </c>
    </row>
    <row r="12" spans="1:4" x14ac:dyDescent="0.3">
      <c r="A12" s="1" t="s">
        <v>12</v>
      </c>
      <c r="B12" s="2">
        <v>2</v>
      </c>
      <c r="C12" s="2">
        <v>2</v>
      </c>
      <c r="D12" s="2">
        <v>2</v>
      </c>
    </row>
    <row r="13" spans="1:4" x14ac:dyDescent="0.3">
      <c r="A13" s="1" t="s">
        <v>13</v>
      </c>
      <c r="B13" s="2">
        <v>2</v>
      </c>
      <c r="C13" s="2">
        <v>2</v>
      </c>
      <c r="D13" s="2">
        <v>2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BE57-F005-4846-850A-1DF4320CD0D9}">
  <dimension ref="A1:K12"/>
  <sheetViews>
    <sheetView tabSelected="1" zoomScale="130" zoomScaleNormal="130" workbookViewId="0">
      <selection activeCell="B3" sqref="B3"/>
    </sheetView>
  </sheetViews>
  <sheetFormatPr defaultRowHeight="14.4" x14ac:dyDescent="0.3"/>
  <cols>
    <col min="1" max="1" width="18" customWidth="1"/>
    <col min="2" max="2" width="11.33203125" customWidth="1"/>
    <col min="3" max="3" width="11.44140625" customWidth="1"/>
    <col min="4" max="4" width="12.33203125" customWidth="1"/>
    <col min="5" max="5" width="11.88671875" customWidth="1"/>
    <col min="6" max="6" width="12.5546875" customWidth="1"/>
    <col min="7" max="7" width="12.44140625" customWidth="1"/>
    <col min="8" max="8" width="10.88671875" customWidth="1"/>
    <col min="9" max="9" width="12.5546875" customWidth="1"/>
    <col min="10" max="10" width="13.77734375" customWidth="1"/>
    <col min="11" max="11" width="17.88671875" customWidth="1"/>
  </cols>
  <sheetData>
    <row r="1" spans="1:11" x14ac:dyDescent="0.3">
      <c r="A1" s="6" t="s">
        <v>0</v>
      </c>
      <c r="B1" s="5" t="s">
        <v>1</v>
      </c>
      <c r="C1" s="5"/>
      <c r="D1" s="5"/>
      <c r="E1" s="5" t="s">
        <v>2</v>
      </c>
      <c r="F1" s="5"/>
      <c r="G1" s="5"/>
      <c r="H1" s="8" t="s">
        <v>3</v>
      </c>
      <c r="I1" s="9"/>
      <c r="J1" s="10"/>
      <c r="K1" s="7" t="s">
        <v>17</v>
      </c>
    </row>
    <row r="2" spans="1:11" x14ac:dyDescent="0.3">
      <c r="A2" s="6"/>
      <c r="B2" s="4" t="s">
        <v>14</v>
      </c>
      <c r="C2" s="4" t="s">
        <v>15</v>
      </c>
      <c r="D2" s="4" t="s">
        <v>16</v>
      </c>
      <c r="E2" s="4" t="s">
        <v>14</v>
      </c>
      <c r="F2" s="4" t="s">
        <v>15</v>
      </c>
      <c r="G2" s="4" t="s">
        <v>16</v>
      </c>
      <c r="H2" s="4" t="s">
        <v>14</v>
      </c>
      <c r="I2" s="4" t="s">
        <v>15</v>
      </c>
      <c r="J2" s="4" t="s">
        <v>16</v>
      </c>
      <c r="K2" s="7"/>
    </row>
    <row r="3" spans="1:11" x14ac:dyDescent="0.3">
      <c r="A3" s="1" t="s">
        <v>4</v>
      </c>
      <c r="B3" s="2">
        <f>VLOOKUP('Main Sheet'!A3,'Judge 1'!A2:D13, 2, FALSE)</f>
        <v>1000</v>
      </c>
      <c r="C3" s="2">
        <f>VLOOKUP(A3, 'Judge 2'!A2:D13, 2, FALSE)</f>
        <v>8</v>
      </c>
      <c r="D3" s="2">
        <f>VLOOKUP(A3,'Judge 3'!A2:D13, 2, FALSE)</f>
        <v>2</v>
      </c>
      <c r="E3" s="2">
        <f>VLOOKUP(A3,  'Judge 1'!A2:D13, 3, FALSE)</f>
        <v>7</v>
      </c>
      <c r="F3" s="2">
        <f>VLOOKUP(A3, 'Judge 2'!A2:D13, 3, FALSE)</f>
        <v>8</v>
      </c>
      <c r="G3" s="2">
        <f>VLOOKUP(A3, 'Judge 3'!A2:D13, 3, FALSE)</f>
        <v>2</v>
      </c>
      <c r="H3" s="2">
        <f>VLOOKUP(A3,'Judge 1'!A2:D13, 4, FALSE)</f>
        <v>10</v>
      </c>
      <c r="I3" s="2">
        <f>VLOOKUP(A3,'Judge 2'!A2:D13, 4, FALSE)</f>
        <v>8</v>
      </c>
      <c r="J3" s="2">
        <f>VLOOKUP(A3, 'Judge 3'!A2:D13, 3, FALSE)</f>
        <v>2</v>
      </c>
      <c r="K3" s="1">
        <f>SUM(B3:J3)</f>
        <v>1047</v>
      </c>
    </row>
    <row r="4" spans="1:11" x14ac:dyDescent="0.3">
      <c r="A4" s="1" t="s">
        <v>5</v>
      </c>
      <c r="B4" s="2">
        <f>VLOOKUP('Main Sheet'!A4,'Judge 1'!A3:D14, 2, FALSE)</f>
        <v>9</v>
      </c>
      <c r="C4" s="2">
        <f>VLOOKUP(A4, 'Judge 2'!A3:D14, 2, FALSE)</f>
        <v>8</v>
      </c>
      <c r="D4" s="2">
        <f>VLOOKUP(A4,'Judge 3'!A3:D14, 2, FALSE)</f>
        <v>2</v>
      </c>
      <c r="E4" s="2">
        <f>VLOOKUP(A4,  'Judge 1'!A3:D14, 3, FALSE)</f>
        <v>8</v>
      </c>
      <c r="F4" s="2">
        <f>VLOOKUP(A4, 'Judge 2'!A3:D14, 3, FALSE)</f>
        <v>8</v>
      </c>
      <c r="G4" s="2">
        <f>VLOOKUP(A4, 'Judge 3'!A3:D14, 3, FALSE)</f>
        <v>2</v>
      </c>
      <c r="H4" s="2">
        <f>VLOOKUP(A4,'Judge 1'!A3:D14, 4, FALSE)</f>
        <v>5</v>
      </c>
      <c r="I4" s="2">
        <f>VLOOKUP(A4,'Judge 2'!A3:D14, 4, FALSE)</f>
        <v>8</v>
      </c>
      <c r="J4" s="2">
        <f>VLOOKUP(A4, 'Judge 3'!A3:D14, 3, FALSE)</f>
        <v>2</v>
      </c>
      <c r="K4" s="1">
        <f t="shared" ref="K4:K12" si="0">SUM(B4:J4)</f>
        <v>52</v>
      </c>
    </row>
    <row r="5" spans="1:11" x14ac:dyDescent="0.3">
      <c r="A5" s="1" t="s">
        <v>6</v>
      </c>
      <c r="B5" s="2">
        <f>VLOOKUP('Main Sheet'!A5,'Judge 1'!A4:D15, 2, FALSE)</f>
        <v>10</v>
      </c>
      <c r="C5" s="2">
        <f>VLOOKUP(A5, 'Judge 2'!A4:D15, 2, FALSE)</f>
        <v>8</v>
      </c>
      <c r="D5" s="2">
        <f>VLOOKUP(A5,'Judge 3'!A4:D15, 2, FALSE)</f>
        <v>2</v>
      </c>
      <c r="E5" s="2">
        <f>VLOOKUP(A5,  'Judge 1'!A4:D15, 3, FALSE)</f>
        <v>4</v>
      </c>
      <c r="F5" s="2">
        <f>VLOOKUP(A5, 'Judge 2'!A4:D15, 3, FALSE)</f>
        <v>8</v>
      </c>
      <c r="G5" s="2">
        <f>VLOOKUP(A5, 'Judge 3'!A4:D15, 3, FALSE)</f>
        <v>2</v>
      </c>
      <c r="H5" s="2">
        <f>VLOOKUP(A5,'Judge 1'!A4:D15, 4, FALSE)</f>
        <v>9</v>
      </c>
      <c r="I5" s="2">
        <f>VLOOKUP(A5,'Judge 2'!A4:D15, 4, FALSE)</f>
        <v>8</v>
      </c>
      <c r="J5" s="2">
        <f>VLOOKUP(A5, 'Judge 3'!A4:D15, 3, FALSE)</f>
        <v>2</v>
      </c>
      <c r="K5" s="1">
        <f t="shared" si="0"/>
        <v>53</v>
      </c>
    </row>
    <row r="6" spans="1:11" x14ac:dyDescent="0.3">
      <c r="A6" s="1" t="s">
        <v>7</v>
      </c>
      <c r="B6" s="2">
        <f>VLOOKUP('Main Sheet'!A6,'Judge 1'!A5:D16, 2, FALSE)</f>
        <v>10</v>
      </c>
      <c r="C6" s="2">
        <f>VLOOKUP(A6, 'Judge 2'!A5:D16, 2, FALSE)</f>
        <v>8</v>
      </c>
      <c r="D6" s="2">
        <f>VLOOKUP(A6,'Judge 3'!A5:D16, 2, FALSE)</f>
        <v>2</v>
      </c>
      <c r="E6" s="2">
        <f>VLOOKUP(A6,  'Judge 1'!A5:D16, 3, FALSE)</f>
        <v>6</v>
      </c>
      <c r="F6" s="2">
        <f>VLOOKUP(A6, 'Judge 2'!A5:D16, 3, FALSE)</f>
        <v>8</v>
      </c>
      <c r="G6" s="2">
        <f>VLOOKUP(A6, 'Judge 3'!A5:D16, 3, FALSE)</f>
        <v>2</v>
      </c>
      <c r="H6" s="2">
        <f>VLOOKUP(A6,'Judge 1'!A5:D16, 4, FALSE)</f>
        <v>5</v>
      </c>
      <c r="I6" s="2">
        <f>VLOOKUP(A6,'Judge 2'!A5:D16, 4, FALSE)</f>
        <v>8</v>
      </c>
      <c r="J6" s="2">
        <f>VLOOKUP(A6, 'Judge 3'!A5:D16, 3, FALSE)</f>
        <v>2</v>
      </c>
      <c r="K6" s="1">
        <f t="shared" si="0"/>
        <v>51</v>
      </c>
    </row>
    <row r="7" spans="1:11" x14ac:dyDescent="0.3">
      <c r="A7" s="1" t="s">
        <v>8</v>
      </c>
      <c r="B7" s="2">
        <f>VLOOKUP('Main Sheet'!A7,'Judge 1'!A6:D17, 2, FALSE)</f>
        <v>8</v>
      </c>
      <c r="C7" s="2">
        <f>VLOOKUP(A7, 'Judge 2'!A6:D17, 2, FALSE)</f>
        <v>8</v>
      </c>
      <c r="D7" s="2">
        <f>VLOOKUP(A7,'Judge 3'!A6:D17, 2, FALSE)</f>
        <v>2</v>
      </c>
      <c r="E7" s="2">
        <f>VLOOKUP(A7,  'Judge 1'!A6:D17, 3, FALSE)</f>
        <v>10</v>
      </c>
      <c r="F7" s="2">
        <f>VLOOKUP(A7, 'Judge 2'!A6:D17, 3, FALSE)</f>
        <v>8</v>
      </c>
      <c r="G7" s="2">
        <f>VLOOKUP(A7, 'Judge 3'!A6:D17, 3, FALSE)</f>
        <v>2</v>
      </c>
      <c r="H7" s="2">
        <f>VLOOKUP(A7,'Judge 1'!A6:D17, 4, FALSE)</f>
        <v>6</v>
      </c>
      <c r="I7" s="2">
        <f>VLOOKUP(A7,'Judge 2'!A6:D17, 4, FALSE)</f>
        <v>8</v>
      </c>
      <c r="J7" s="2">
        <f>VLOOKUP(A7, 'Judge 3'!A6:D17, 3, FALSE)</f>
        <v>2</v>
      </c>
      <c r="K7" s="1">
        <f t="shared" si="0"/>
        <v>54</v>
      </c>
    </row>
    <row r="8" spans="1:11" x14ac:dyDescent="0.3">
      <c r="A8" s="1" t="s">
        <v>9</v>
      </c>
      <c r="B8" s="2">
        <f>VLOOKUP('Main Sheet'!A8,'Judge 1'!A7:D18, 2, FALSE)</f>
        <v>7</v>
      </c>
      <c r="C8" s="2">
        <f>VLOOKUP(A8, 'Judge 2'!A7:D18, 2, FALSE)</f>
        <v>8</v>
      </c>
      <c r="D8" s="2">
        <f>VLOOKUP(A8,'Judge 3'!A7:D18, 2, FALSE)</f>
        <v>2</v>
      </c>
      <c r="E8" s="2">
        <f>VLOOKUP(A8,  'Judge 1'!A7:D18, 3, FALSE)</f>
        <v>8</v>
      </c>
      <c r="F8" s="2">
        <f>VLOOKUP(A8, 'Judge 2'!A7:D18, 3, FALSE)</f>
        <v>8</v>
      </c>
      <c r="G8" s="2">
        <f>VLOOKUP(A8, 'Judge 3'!A7:D18, 3, FALSE)</f>
        <v>2</v>
      </c>
      <c r="H8" s="2">
        <f>VLOOKUP(A8,'Judge 1'!A7:D18, 4, FALSE)</f>
        <v>5</v>
      </c>
      <c r="I8" s="2">
        <f>VLOOKUP(A8,'Judge 2'!A7:D18, 4, FALSE)</f>
        <v>8</v>
      </c>
      <c r="J8" s="2">
        <f>VLOOKUP(A8, 'Judge 3'!A7:D18, 3, FALSE)</f>
        <v>2</v>
      </c>
      <c r="K8" s="1">
        <f t="shared" si="0"/>
        <v>50</v>
      </c>
    </row>
    <row r="9" spans="1:11" x14ac:dyDescent="0.3">
      <c r="A9" s="1" t="s">
        <v>10</v>
      </c>
      <c r="B9" s="2">
        <f>VLOOKUP('Main Sheet'!A9,'Judge 1'!A8:D19, 2, FALSE)</f>
        <v>4</v>
      </c>
      <c r="C9" s="2">
        <f>VLOOKUP(A9, 'Judge 2'!A8:D19, 2, FALSE)</f>
        <v>8</v>
      </c>
      <c r="D9" s="2">
        <f>VLOOKUP(A9,'Judge 3'!A8:D19, 2, FALSE)</f>
        <v>2</v>
      </c>
      <c r="E9" s="2">
        <f>VLOOKUP(A9,  'Judge 1'!A8:D19, 3, FALSE)</f>
        <v>3</v>
      </c>
      <c r="F9" s="2">
        <f>VLOOKUP(A9, 'Judge 2'!A8:D19, 3, FALSE)</f>
        <v>8</v>
      </c>
      <c r="G9" s="2">
        <f>VLOOKUP(A9, 'Judge 3'!A8:D19, 3, FALSE)</f>
        <v>2</v>
      </c>
      <c r="H9" s="2">
        <f>VLOOKUP(A9,'Judge 1'!A8:D19, 4, FALSE)</f>
        <v>5</v>
      </c>
      <c r="I9" s="2">
        <f>VLOOKUP(A9,'Judge 2'!A8:D19, 4, FALSE)</f>
        <v>8</v>
      </c>
      <c r="J9" s="2">
        <f>VLOOKUP(A9, 'Judge 3'!A8:D19, 3, FALSE)</f>
        <v>2</v>
      </c>
      <c r="K9" s="1">
        <f t="shared" si="0"/>
        <v>42</v>
      </c>
    </row>
    <row r="10" spans="1:11" x14ac:dyDescent="0.3">
      <c r="A10" s="1" t="s">
        <v>11</v>
      </c>
      <c r="B10" s="2">
        <f>VLOOKUP('Main Sheet'!A10,'Judge 1'!A9:D20, 2, FALSE)</f>
        <v>8</v>
      </c>
      <c r="C10" s="2">
        <f>VLOOKUP(A10, 'Judge 2'!A9:D20, 2, FALSE)</f>
        <v>8</v>
      </c>
      <c r="D10" s="2">
        <f>VLOOKUP(A10,'Judge 3'!A9:D20, 2, FALSE)</f>
        <v>2</v>
      </c>
      <c r="E10" s="2">
        <f>VLOOKUP(A10,  'Judge 1'!A9:D20, 3, FALSE)</f>
        <v>10</v>
      </c>
      <c r="F10" s="2">
        <f>VLOOKUP(A10, 'Judge 2'!A9:D20, 3, FALSE)</f>
        <v>8</v>
      </c>
      <c r="G10" s="2">
        <f>VLOOKUP(A10, 'Judge 3'!A9:D20, 3, FALSE)</f>
        <v>2</v>
      </c>
      <c r="H10" s="2">
        <f>VLOOKUP(A10,'Judge 1'!A9:D20, 4, FALSE)</f>
        <v>6</v>
      </c>
      <c r="I10" s="2">
        <f>VLOOKUP(A10,'Judge 2'!A9:D20, 4, FALSE)</f>
        <v>8</v>
      </c>
      <c r="J10" s="2">
        <f>VLOOKUP(A10, 'Judge 3'!A9:D20, 3, FALSE)</f>
        <v>2</v>
      </c>
      <c r="K10" s="1">
        <f t="shared" si="0"/>
        <v>54</v>
      </c>
    </row>
    <row r="11" spans="1:11" x14ac:dyDescent="0.3">
      <c r="A11" s="1" t="s">
        <v>12</v>
      </c>
      <c r="B11" s="2">
        <f>VLOOKUP('Main Sheet'!A11,'Judge 1'!A10:D21, 2, FALSE)</f>
        <v>7</v>
      </c>
      <c r="C11" s="2">
        <f>VLOOKUP(A11, 'Judge 2'!A10:D21, 2, FALSE)</f>
        <v>8</v>
      </c>
      <c r="D11" s="2">
        <f>VLOOKUP(A11,'Judge 3'!A10:D21, 2, FALSE)</f>
        <v>2</v>
      </c>
      <c r="E11" s="2">
        <f>VLOOKUP(A11,  'Judge 1'!A10:D21, 3, FALSE)</f>
        <v>9</v>
      </c>
      <c r="F11" s="2">
        <f>VLOOKUP(A11, 'Judge 2'!A10:D21, 3, FALSE)</f>
        <v>8</v>
      </c>
      <c r="G11" s="2">
        <f>VLOOKUP(A11, 'Judge 3'!A10:D21, 3, FALSE)</f>
        <v>2</v>
      </c>
      <c r="H11" s="2">
        <f>VLOOKUP(A11,'Judge 1'!A10:D21, 4, FALSE)</f>
        <v>10</v>
      </c>
      <c r="I11" s="2">
        <f>VLOOKUP(A11,'Judge 2'!A10:D21, 4, FALSE)</f>
        <v>8</v>
      </c>
      <c r="J11" s="2">
        <f>VLOOKUP(A11, 'Judge 3'!A10:D21, 3, FALSE)</f>
        <v>2</v>
      </c>
      <c r="K11" s="1">
        <f t="shared" si="0"/>
        <v>56</v>
      </c>
    </row>
    <row r="12" spans="1:11" x14ac:dyDescent="0.3">
      <c r="A12" s="1" t="s">
        <v>13</v>
      </c>
      <c r="B12" s="2">
        <f>VLOOKUP('Main Sheet'!A12,'Judge 1'!A11:D22, 2, FALSE)</f>
        <v>8</v>
      </c>
      <c r="C12" s="2">
        <f>VLOOKUP(A12, 'Judge 2'!A11:D22, 2, FALSE)</f>
        <v>8</v>
      </c>
      <c r="D12" s="2">
        <f>VLOOKUP(A12,'Judge 3'!A11:D22, 2, FALSE)</f>
        <v>2</v>
      </c>
      <c r="E12" s="2">
        <f>VLOOKUP(A12,  'Judge 1'!A11:D22, 3, FALSE)</f>
        <v>3</v>
      </c>
      <c r="F12" s="2">
        <f>VLOOKUP(A12, 'Judge 2'!A11:D22, 3, FALSE)</f>
        <v>8</v>
      </c>
      <c r="G12" s="2">
        <f>VLOOKUP(A12, 'Judge 3'!A11:D22, 3, FALSE)</f>
        <v>2</v>
      </c>
      <c r="H12" s="2">
        <f>VLOOKUP(A12,'Judge 1'!A11:D22, 4, FALSE)</f>
        <v>7</v>
      </c>
      <c r="I12" s="2">
        <f>VLOOKUP(A12,'Judge 2'!A11:D22, 4, FALSE)</f>
        <v>8</v>
      </c>
      <c r="J12" s="2">
        <f>VLOOKUP(A12, 'Judge 3'!A11:D22, 3, FALSE)</f>
        <v>2</v>
      </c>
      <c r="K12" s="1">
        <f t="shared" si="0"/>
        <v>48</v>
      </c>
    </row>
  </sheetData>
  <mergeCells count="5">
    <mergeCell ref="B1:D1"/>
    <mergeCell ref="E1:G1"/>
    <mergeCell ref="A1:A2"/>
    <mergeCell ref="K1:K2"/>
    <mergeCell ref="H1:J1"/>
  </mergeCells>
  <phoneticPr fontId="2" type="noConversion"/>
  <conditionalFormatting sqref="K3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Judge 1</vt:lpstr>
      <vt:lpstr>Judge 2</vt:lpstr>
      <vt:lpstr>Judge 3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Singal</dc:creator>
  <cp:lastModifiedBy>Muskan Singal</cp:lastModifiedBy>
  <dcterms:created xsi:type="dcterms:W3CDTF">2026-05-18T05:28:30Z</dcterms:created>
  <dcterms:modified xsi:type="dcterms:W3CDTF">2026-05-19T13:04:04Z</dcterms:modified>
</cp:coreProperties>
</file>